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9690" windowHeight="6030" firstSheet="1" activeTab="1"/>
  </bookViews>
  <sheets>
    <sheet name="Sheet1" sheetId="3" r:id="rId1"/>
    <sheet name="Φύλλο 1" sheetId="2" r:id="rId2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9" i="2"/>
  <c r="D39"/>
  <c r="B39"/>
  <c r="C39"/>
  <c r="B46"/>
  <c r="B53"/>
  <c r="E53"/>
  <c r="D53"/>
  <c r="C53"/>
  <c r="B48"/>
  <c r="E48"/>
  <c r="D48"/>
  <c r="C48"/>
  <c r="B50"/>
  <c r="E50"/>
  <c r="D50"/>
  <c r="C50"/>
  <c r="E49"/>
  <c r="D49"/>
  <c r="C49"/>
  <c r="C51" s="1"/>
  <c r="B35"/>
  <c r="C35"/>
  <c r="D35"/>
  <c r="E35"/>
  <c r="B32"/>
  <c r="C32"/>
  <c r="D32"/>
  <c r="E32"/>
  <c r="B33"/>
  <c r="B34"/>
  <c r="E34"/>
  <c r="D34"/>
  <c r="C34"/>
  <c r="B38"/>
  <c r="E38"/>
  <c r="D38"/>
  <c r="C38"/>
  <c r="B37"/>
  <c r="E37"/>
  <c r="D37"/>
  <c r="C37"/>
  <c r="E33"/>
  <c r="D33"/>
  <c r="C33"/>
  <c r="E40"/>
  <c r="D40"/>
  <c r="C40"/>
  <c r="B42"/>
  <c r="C42"/>
  <c r="E42"/>
  <c r="D42"/>
  <c r="E43"/>
  <c r="D43"/>
  <c r="B43"/>
  <c r="C43"/>
  <c r="E46"/>
  <c r="D46"/>
  <c r="C46"/>
  <c r="D45"/>
  <c r="E45"/>
  <c r="C45"/>
  <c r="B49"/>
  <c r="B45"/>
  <c r="B40"/>
  <c r="D51" l="1"/>
  <c r="B51"/>
  <c r="E51"/>
</calcChain>
</file>

<file path=xl/sharedStrings.xml><?xml version="1.0" encoding="utf-8"?>
<sst xmlns="http://schemas.openxmlformats.org/spreadsheetml/2006/main" count="50" uniqueCount="50">
  <si>
    <t>ΟΙΚΟΝΟΜΙΚΕΣ ΚΑΤΑΣΤΑΣΕΙΣ</t>
  </si>
  <si>
    <t>ΛΟΓΑΡΙΑΣΜΟΙ Κ.Α.Χ.</t>
  </si>
  <si>
    <t>ΜΗΝΕΣ</t>
  </si>
  <si>
    <t>Πωλήσεις</t>
  </si>
  <si>
    <t>Κόστος Πωληθέντων</t>
  </si>
  <si>
    <t>Αποσβέσεις</t>
  </si>
  <si>
    <t>ΛΟΓΑΡΙΑΣΜΟΙ ΙΣΟΛΟΓΙΣΜΟΥ</t>
  </si>
  <si>
    <t>Αποθέματα</t>
  </si>
  <si>
    <t>Ταμειακά Διαθέσιμα</t>
  </si>
  <si>
    <t>Κυκλοφορούν Ενεργητικό</t>
  </si>
  <si>
    <t>Εμπορικές Υποχρεώσεις</t>
  </si>
  <si>
    <t>Βραχυπρόθεσμες Δανειακές Υποχρεώσεις</t>
  </si>
  <si>
    <t>Σύνολο Βραχυπρόθεσμων Υποχρεώσεων</t>
  </si>
  <si>
    <t>Μετοχικό Κεφάλαιο</t>
  </si>
  <si>
    <t>Ίδια Κεφάλαια</t>
  </si>
  <si>
    <t>Μακροπρόθεσμες Υποχρεώσεις</t>
  </si>
  <si>
    <t>Σύνολο Ιδίων Κεφαλαίων &amp; Υποχρεώσεων</t>
  </si>
  <si>
    <t>ΑΡΙΘΜΟΔΕΙΚΤΕΣ</t>
  </si>
  <si>
    <t>ΜΕΤΑΒΟΛΕΣ</t>
  </si>
  <si>
    <t>Μεταβολή Πωλήσεων</t>
  </si>
  <si>
    <t>Μεταβολή Χρηματοοικονομικών Εξόδων</t>
  </si>
  <si>
    <t>ΔΕΙΚΤΕΣ</t>
  </si>
  <si>
    <t>Μικτό Περιθώριο Κέρδους</t>
  </si>
  <si>
    <t>Λειτουργικά Κέρδη</t>
  </si>
  <si>
    <t>Κεφάλαιο Κίνησης</t>
  </si>
  <si>
    <t>ΔΙΑΡΘΡΩΣΗ</t>
  </si>
  <si>
    <t>ΡΕΥΣΤΟΤΗΤΑ</t>
  </si>
  <si>
    <t>Γενική Ρευστότητα</t>
  </si>
  <si>
    <t>Αμεση Ρευστότητα</t>
  </si>
  <si>
    <t>ΚΥΚΛΟΦΟΡΙΑΚΕΣ ΤΑΧΥΤΗΤΕΣ</t>
  </si>
  <si>
    <t>Κυκλοφοριακή Ταχύτητα Απαιτήσεων</t>
  </si>
  <si>
    <t>Κυκλοφοριακή Ταχύτητα Υποχρεώσεων</t>
  </si>
  <si>
    <t>Κυκλοφοριακή Ταχύτητα Αποθεμάτων</t>
  </si>
  <si>
    <t>Καθαρές Λειτουργικές Ανάγκες</t>
  </si>
  <si>
    <t>ΑΠΟΔΟΤΙΚΟΤΗΤΑ</t>
  </si>
  <si>
    <t>Εμπορικές Απαιτήσεις</t>
  </si>
  <si>
    <t>Ιδιοχρησιμοποιούμενα Ενσώματα Πάγια Στοιχεία</t>
  </si>
  <si>
    <t>Κέρδη/(Ζημιές) Προ Φόρων</t>
  </si>
  <si>
    <t xml:space="preserve">Χρηματοοικονομικά Έσοδα </t>
  </si>
  <si>
    <t xml:space="preserve">Χρηματοοικονομικά Έξοδα </t>
  </si>
  <si>
    <t xml:space="preserve">Μεταβολή Κερδών Προ Φόρων </t>
  </si>
  <si>
    <t>Συνολικές Υποχρεώσεις/Πωλήσεις</t>
  </si>
  <si>
    <t>Ξένα/Ιδια Κεφάλαια</t>
  </si>
  <si>
    <t>Σύνολο Εξόδων &amp; Τόκων/Μικτό Κέρδος %</t>
  </si>
  <si>
    <t>Λοιπά Έσοδα Εκμετάλλευσης</t>
  </si>
  <si>
    <t>Έξοδα Διάθεσης - Διοίκησης - Έρευνας</t>
  </si>
  <si>
    <t xml:space="preserve">Άλλα/Λοιπά Έσοδα Εκμετάλλευσης </t>
  </si>
  <si>
    <t>Άλλα/Λοιπά Έξοδα Εκμετάλλευσης</t>
  </si>
  <si>
    <t>Έξοδα Διοίκησης - Λειτουργίας - Έρευνας/Πωλήσεις</t>
  </si>
  <si>
    <t>Μεταβολή Εξόδων Διοίκησης - Λειτουργίας - Έρευνας</t>
  </si>
</sst>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9">
    <font>
      <sz val="10"/>
      <name val="Arial Greek"/>
      <charset val="161"/>
    </font>
    <font>
      <b/>
      <sz val="10"/>
      <name val="Arial"/>
      <family val="2"/>
      <charset val="161"/>
    </font>
    <font>
      <sz val="10"/>
      <name val="Arial"/>
      <family val="2"/>
      <charset val="161"/>
    </font>
    <font>
      <b/>
      <sz val="10"/>
      <name val="Arial"/>
      <family val="2"/>
    </font>
    <font>
      <sz val="10"/>
      <name val="Arial"/>
      <family val="2"/>
    </font>
    <font>
      <sz val="10"/>
      <color rgb="FF92D050"/>
      <name val="Arial"/>
      <family val="2"/>
      <charset val="161"/>
    </font>
    <font>
      <sz val="10"/>
      <color rgb="FF92D05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Arial"/>
      <family val="2"/>
      <charset val="16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0" borderId="1" xfId="0" applyFont="1" applyBorder="1"/>
    <xf numFmtId="3" fontId="2" fillId="0" borderId="1" xfId="0" applyNumberFormat="1" applyFont="1" applyBorder="1" applyAlignment="1">
      <alignment horizontal="center"/>
    </xf>
    <xf numFmtId="0" fontId="4" fillId="0" borderId="1" xfId="0" applyFont="1" applyBorder="1"/>
    <xf numFmtId="0" fontId="1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1" fontId="3" fillId="3" borderId="1" xfId="0" applyNumberFormat="1" applyFont="1" applyFill="1" applyBorder="1" applyAlignment="1">
      <alignment horizontal="center"/>
    </xf>
    <xf numFmtId="0" fontId="1" fillId="0" borderId="1" xfId="0" applyFont="1" applyBorder="1"/>
    <xf numFmtId="0" fontId="8" fillId="0" borderId="1" xfId="0" applyFont="1" applyBorder="1"/>
    <xf numFmtId="3" fontId="2" fillId="0" borderId="3" xfId="0" applyNumberFormat="1" applyFont="1" applyBorder="1" applyAlignment="1">
      <alignment horizontal="center"/>
    </xf>
    <xf numFmtId="3" fontId="2" fillId="0" borderId="4" xfId="0" applyNumberFormat="1" applyFont="1" applyBorder="1" applyAlignment="1">
      <alignment horizontal="center"/>
    </xf>
    <xf numFmtId="14" fontId="7" fillId="4" borderId="1" xfId="0" applyNumberFormat="1" applyFont="1" applyFill="1" applyBorder="1"/>
    <xf numFmtId="0" fontId="5" fillId="4" borderId="1" xfId="0" applyFont="1" applyFill="1" applyBorder="1"/>
    <xf numFmtId="14" fontId="8" fillId="4" borderId="1" xfId="0" applyNumberFormat="1" applyFont="1" applyFill="1" applyBorder="1"/>
    <xf numFmtId="0" fontId="6" fillId="4" borderId="1" xfId="0" applyFont="1" applyFill="1" applyBorder="1"/>
    <xf numFmtId="0" fontId="7" fillId="4" borderId="1" xfId="0" applyFont="1" applyFill="1" applyBorder="1"/>
    <xf numFmtId="0" fontId="8" fillId="4" borderId="1" xfId="0" applyFont="1" applyFill="1" applyBorder="1"/>
    <xf numFmtId="0" fontId="4" fillId="4" borderId="1" xfId="0" applyFont="1" applyFill="1" applyBorder="1"/>
    <xf numFmtId="3" fontId="2" fillId="4" borderId="1" xfId="0" applyNumberFormat="1" applyFont="1" applyFill="1" applyBorder="1" applyAlignment="1">
      <alignment horizontal="center"/>
    </xf>
    <xf numFmtId="0" fontId="2" fillId="4" borderId="1" xfId="0" applyFont="1" applyFill="1" applyBorder="1"/>
    <xf numFmtId="3" fontId="2" fillId="4" borderId="3" xfId="0" applyNumberFormat="1" applyFont="1" applyFill="1" applyBorder="1" applyAlignment="1">
      <alignment horizontal="center"/>
    </xf>
    <xf numFmtId="3" fontId="2" fillId="4" borderId="5" xfId="0" applyNumberFormat="1" applyFont="1" applyFill="1" applyBorder="1" applyAlignment="1">
      <alignment horizontal="center"/>
    </xf>
    <xf numFmtId="14" fontId="7" fillId="3" borderId="1" xfId="0" applyNumberFormat="1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3" fontId="2" fillId="3" borderId="3" xfId="0" applyNumberFormat="1" applyFont="1" applyFill="1" applyBorder="1" applyAlignment="1">
      <alignment horizontal="center"/>
    </xf>
    <xf numFmtId="3" fontId="4" fillId="3" borderId="4" xfId="0" applyNumberFormat="1" applyFont="1" applyFill="1" applyBorder="1" applyAlignment="1">
      <alignment horizontal="center"/>
    </xf>
    <xf numFmtId="3" fontId="4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3" fontId="2" fillId="0" borderId="0" xfId="0" applyNumberFormat="1" applyFont="1" applyAlignment="1">
      <alignment horizontal="center"/>
    </xf>
    <xf numFmtId="3" fontId="2" fillId="0" borderId="5" xfId="0" applyNumberFormat="1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3" fontId="2" fillId="2" borderId="1" xfId="0" applyNumberFormat="1" applyFont="1" applyFill="1" applyBorder="1" applyAlignment="1">
      <alignment horizontal="center"/>
    </xf>
    <xf numFmtId="3" fontId="2" fillId="2" borderId="3" xfId="0" applyNumberFormat="1" applyFont="1" applyFill="1" applyBorder="1" applyAlignment="1">
      <alignment horizontal="center"/>
    </xf>
    <xf numFmtId="10" fontId="2" fillId="4" borderId="1" xfId="0" applyNumberFormat="1" applyFont="1" applyFill="1" applyBorder="1" applyAlignment="1">
      <alignment horizontal="center"/>
    </xf>
    <xf numFmtId="3" fontId="2" fillId="2" borderId="6" xfId="0" applyNumberFormat="1" applyFont="1" applyFill="1" applyBorder="1" applyAlignment="1">
      <alignment horizontal="center"/>
    </xf>
    <xf numFmtId="3" fontId="2" fillId="2" borderId="0" xfId="0" applyNumberFormat="1" applyFont="1" applyFill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0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</cellXfs>
  <cellStyles count="1">
    <cellStyle name="Κανονικό" xfId="0" builtinId="0"/>
  </cellStyles>
  <dxfs count="0"/>
  <tableStyles count="0" defaultTableStyle="TableStyleMedium9" defaultPivotStyle="PivotStyleLight16"/>
  <colors>
    <mruColors>
      <color rgb="FFA9D0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L63"/>
  <sheetViews>
    <sheetView showGridLines="0" tabSelected="1" topLeftCell="A19" workbookViewId="0">
      <selection activeCell="D35" sqref="D35"/>
    </sheetView>
  </sheetViews>
  <sheetFormatPr defaultRowHeight="12.75"/>
  <cols>
    <col min="1" max="1" width="44.85546875" customWidth="1"/>
    <col min="2" max="2" width="15.7109375" customWidth="1"/>
    <col min="3" max="3" width="15.85546875" customWidth="1"/>
    <col min="4" max="4" width="14.85546875" customWidth="1"/>
    <col min="5" max="5" width="15" customWidth="1"/>
    <col min="6" max="6" width="13.140625" customWidth="1"/>
    <col min="7" max="8" width="14" customWidth="1"/>
    <col min="9" max="9" width="13.140625" hidden="1" customWidth="1"/>
    <col min="10" max="10" width="11.7109375" customWidth="1"/>
  </cols>
  <sheetData>
    <row r="3" spans="1:12" s="1" customFormat="1">
      <c r="A3" s="27" t="s">
        <v>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s="1" customFormat="1">
      <c r="A4" s="7" t="s">
        <v>1</v>
      </c>
      <c r="B4" s="8">
        <v>42004</v>
      </c>
      <c r="C4" s="8">
        <v>42369</v>
      </c>
      <c r="D4" s="25">
        <v>42735</v>
      </c>
      <c r="E4" s="25">
        <v>43100</v>
      </c>
      <c r="F4" s="14"/>
      <c r="G4" s="14"/>
      <c r="H4" s="14"/>
      <c r="I4" s="15"/>
      <c r="J4" s="16"/>
      <c r="K4" s="15"/>
      <c r="L4" s="17"/>
    </row>
    <row r="5" spans="1:12" s="1" customFormat="1">
      <c r="A5" s="7" t="s">
        <v>2</v>
      </c>
      <c r="B5" s="9">
        <v>12</v>
      </c>
      <c r="C5" s="9">
        <v>12</v>
      </c>
      <c r="D5" s="26">
        <v>12</v>
      </c>
      <c r="E5" s="26">
        <v>12</v>
      </c>
      <c r="F5" s="18"/>
      <c r="G5" s="18"/>
      <c r="H5" s="18"/>
      <c r="I5" s="15"/>
      <c r="J5" s="19"/>
      <c r="K5" s="15"/>
      <c r="L5" s="17"/>
    </row>
    <row r="6" spans="1:12" s="1" customFormat="1">
      <c r="A6" s="45" t="s">
        <v>3</v>
      </c>
      <c r="B6" s="36">
        <v>7051344</v>
      </c>
      <c r="C6" s="4">
        <v>6986768</v>
      </c>
      <c r="D6" s="4">
        <v>8008120</v>
      </c>
      <c r="E6" s="38">
        <v>9005941</v>
      </c>
      <c r="F6" s="3"/>
      <c r="G6" s="3"/>
      <c r="H6" s="3"/>
      <c r="I6" s="3"/>
      <c r="J6" s="3"/>
      <c r="K6" s="3"/>
      <c r="L6" s="3"/>
    </row>
    <row r="7" spans="1:12" s="1" customFormat="1">
      <c r="A7" s="45" t="s">
        <v>4</v>
      </c>
      <c r="B7" s="4">
        <v>2176063</v>
      </c>
      <c r="C7" s="4">
        <v>2563888</v>
      </c>
      <c r="D7" s="4">
        <v>2856707</v>
      </c>
      <c r="E7" s="4">
        <v>3423834</v>
      </c>
      <c r="F7" s="3"/>
      <c r="G7" s="3"/>
      <c r="H7" s="3"/>
      <c r="I7" s="3"/>
      <c r="J7" s="3"/>
      <c r="K7" s="3"/>
      <c r="L7" s="3"/>
    </row>
    <row r="8" spans="1:12" s="1" customFormat="1">
      <c r="A8" s="45" t="s">
        <v>46</v>
      </c>
      <c r="B8" s="4">
        <v>104543</v>
      </c>
      <c r="C8" s="12">
        <v>49755</v>
      </c>
      <c r="D8" s="4">
        <v>65531</v>
      </c>
      <c r="E8" s="4">
        <v>326944</v>
      </c>
      <c r="F8" s="3"/>
      <c r="G8" s="3"/>
      <c r="H8" s="3"/>
      <c r="I8" s="3"/>
      <c r="J8" s="3"/>
      <c r="K8" s="3"/>
      <c r="L8" s="3"/>
    </row>
    <row r="9" spans="1:12" s="1" customFormat="1">
      <c r="A9" s="45" t="s">
        <v>45</v>
      </c>
      <c r="B9" s="39">
        <v>3305857</v>
      </c>
      <c r="C9" s="39">
        <v>4059539</v>
      </c>
      <c r="D9" s="39">
        <v>3569766</v>
      </c>
      <c r="E9" s="39">
        <v>4587613</v>
      </c>
      <c r="F9" s="3"/>
      <c r="G9" s="11"/>
      <c r="H9" s="3"/>
      <c r="I9" s="3"/>
      <c r="J9" s="3"/>
      <c r="K9" s="3"/>
      <c r="L9" s="3"/>
    </row>
    <row r="10" spans="1:12" s="1" customFormat="1">
      <c r="A10" s="45" t="s">
        <v>39</v>
      </c>
      <c r="B10" s="4">
        <v>34202</v>
      </c>
      <c r="C10" s="4">
        <v>76732</v>
      </c>
      <c r="D10" s="4">
        <v>36628</v>
      </c>
      <c r="E10" s="4">
        <v>187251</v>
      </c>
      <c r="F10" s="10"/>
      <c r="G10" s="3"/>
      <c r="H10" s="3"/>
      <c r="I10" s="3"/>
      <c r="J10" s="3"/>
      <c r="K10" s="3"/>
      <c r="L10" s="3"/>
    </row>
    <row r="11" spans="1:12" s="1" customFormat="1">
      <c r="A11" s="45" t="s">
        <v>38</v>
      </c>
      <c r="B11" s="13">
        <v>32477</v>
      </c>
      <c r="C11" s="4">
        <v>56934</v>
      </c>
      <c r="D11" s="4">
        <v>33855</v>
      </c>
      <c r="E11" s="4">
        <v>16924</v>
      </c>
      <c r="F11" s="3"/>
      <c r="G11" s="3"/>
      <c r="H11" s="3"/>
      <c r="I11" s="3"/>
      <c r="J11" s="3"/>
      <c r="K11" s="3"/>
      <c r="L11" s="3"/>
    </row>
    <row r="12" spans="1:12" s="1" customFormat="1">
      <c r="A12" s="46" t="s">
        <v>44</v>
      </c>
      <c r="B12" s="42"/>
      <c r="C12" s="43"/>
      <c r="D12" s="39"/>
      <c r="E12" s="44"/>
      <c r="F12" s="3"/>
      <c r="G12" s="3"/>
      <c r="I12" s="3"/>
      <c r="J12" s="3"/>
      <c r="K12" s="3"/>
      <c r="L12" s="3"/>
    </row>
    <row r="13" spans="1:12" s="1" customFormat="1">
      <c r="A13" s="47" t="s">
        <v>47</v>
      </c>
      <c r="B13" s="42">
        <v>2728</v>
      </c>
      <c r="C13" s="40">
        <v>37452</v>
      </c>
      <c r="D13" s="39">
        <v>6549</v>
      </c>
      <c r="E13" s="39">
        <v>10684</v>
      </c>
      <c r="F13" s="3"/>
      <c r="G13" s="3"/>
      <c r="H13" s="3"/>
      <c r="I13" s="5"/>
      <c r="J13" s="3"/>
      <c r="K13" s="3"/>
      <c r="L13" s="3"/>
    </row>
    <row r="14" spans="1:12" s="1" customFormat="1">
      <c r="A14" s="34" t="s">
        <v>5</v>
      </c>
      <c r="B14" s="37">
        <v>531909</v>
      </c>
      <c r="C14" s="4">
        <v>448007</v>
      </c>
      <c r="D14" s="4">
        <v>521381</v>
      </c>
      <c r="E14" s="4">
        <v>558237</v>
      </c>
      <c r="F14" s="3"/>
      <c r="G14" s="3"/>
      <c r="H14" s="3"/>
      <c r="I14" s="3"/>
      <c r="J14" s="3"/>
      <c r="K14" s="3"/>
      <c r="L14" s="3"/>
    </row>
    <row r="15" spans="1:12" s="1" customFormat="1">
      <c r="A15" s="34" t="s">
        <v>37</v>
      </c>
      <c r="B15" s="4">
        <v>1669452</v>
      </c>
      <c r="C15" s="4">
        <v>845619</v>
      </c>
      <c r="D15" s="4">
        <v>1148083</v>
      </c>
      <c r="E15" s="4">
        <v>1138429</v>
      </c>
      <c r="F15" s="3"/>
      <c r="G15" s="3"/>
      <c r="H15" s="3"/>
      <c r="I15" s="3"/>
      <c r="J15" s="3"/>
      <c r="K15" s="3"/>
      <c r="L15" s="3"/>
    </row>
    <row r="16" spans="1:12" s="1" customFormat="1">
      <c r="A16" s="7" t="s">
        <v>6</v>
      </c>
      <c r="B16" s="31"/>
      <c r="C16" s="32"/>
      <c r="D16" s="35"/>
      <c r="E16" s="35"/>
      <c r="F16" s="20"/>
      <c r="G16" s="20"/>
      <c r="H16" s="20"/>
      <c r="I16" s="20"/>
      <c r="J16" s="20"/>
      <c r="K16" s="20"/>
      <c r="L16" s="20"/>
    </row>
    <row r="17" spans="1:12" s="2" customFormat="1">
      <c r="A17" s="46" t="s">
        <v>36</v>
      </c>
      <c r="B17" s="39">
        <v>206284</v>
      </c>
      <c r="C17" s="40">
        <v>192107</v>
      </c>
      <c r="D17" s="39">
        <v>217827</v>
      </c>
      <c r="E17" s="39">
        <v>281087</v>
      </c>
      <c r="F17" s="21"/>
      <c r="G17" s="22"/>
      <c r="H17" s="22"/>
      <c r="I17" s="22"/>
      <c r="J17" s="22"/>
      <c r="K17" s="22"/>
      <c r="L17" s="22"/>
    </row>
    <row r="18" spans="1:12" s="2" customFormat="1">
      <c r="A18" s="48"/>
      <c r="B18" s="33"/>
      <c r="C18" s="30"/>
      <c r="D18" s="33"/>
      <c r="E18" s="33"/>
      <c r="F18" s="22"/>
      <c r="G18" s="22"/>
      <c r="H18" s="22"/>
      <c r="I18" s="22"/>
      <c r="J18" s="22"/>
      <c r="K18" s="22"/>
      <c r="L18" s="22"/>
    </row>
    <row r="19" spans="1:12" s="1" customFormat="1">
      <c r="A19" s="47" t="s">
        <v>7</v>
      </c>
      <c r="B19" s="4">
        <v>0</v>
      </c>
      <c r="C19" s="23">
        <v>0</v>
      </c>
      <c r="D19" s="21">
        <v>0</v>
      </c>
      <c r="E19" s="21">
        <v>0</v>
      </c>
      <c r="F19" s="21"/>
      <c r="G19" s="22"/>
      <c r="H19" s="22"/>
      <c r="I19" s="22"/>
      <c r="J19" s="22"/>
      <c r="K19" s="22"/>
      <c r="L19" s="22"/>
    </row>
    <row r="20" spans="1:12" s="1" customFormat="1">
      <c r="A20" s="46" t="s">
        <v>35</v>
      </c>
      <c r="B20" s="21">
        <v>4212249</v>
      </c>
      <c r="C20" s="23">
        <v>3779848</v>
      </c>
      <c r="D20" s="21">
        <v>4469509</v>
      </c>
      <c r="E20" s="21">
        <v>5423598</v>
      </c>
      <c r="F20" s="22"/>
      <c r="G20" s="22"/>
      <c r="H20" s="21"/>
      <c r="I20" s="22"/>
      <c r="J20" s="22"/>
      <c r="K20" s="22"/>
      <c r="L20" s="22"/>
    </row>
    <row r="21" spans="1:12" s="1" customFormat="1">
      <c r="A21" s="45" t="s">
        <v>8</v>
      </c>
      <c r="B21" s="24">
        <v>683740</v>
      </c>
      <c r="C21" s="21">
        <v>1243691</v>
      </c>
      <c r="D21" s="21">
        <v>857211</v>
      </c>
      <c r="E21" s="21">
        <v>2321983</v>
      </c>
      <c r="F21" s="22"/>
      <c r="G21" s="22"/>
      <c r="H21" s="22"/>
      <c r="I21" s="22"/>
      <c r="J21" s="22"/>
      <c r="K21" s="22"/>
      <c r="L21" s="22"/>
    </row>
    <row r="22" spans="1:12" s="1" customFormat="1">
      <c r="A22" s="49" t="s">
        <v>9</v>
      </c>
      <c r="B22" s="4">
        <v>6879217</v>
      </c>
      <c r="C22" s="4">
        <v>6779702</v>
      </c>
      <c r="D22" s="4">
        <v>6407814</v>
      </c>
      <c r="E22" s="4">
        <v>8808658</v>
      </c>
      <c r="F22" s="3"/>
      <c r="G22" s="3"/>
      <c r="H22" s="3"/>
      <c r="I22" s="3"/>
      <c r="J22" s="3"/>
      <c r="K22" s="3"/>
      <c r="L22" s="3"/>
    </row>
    <row r="23" spans="1:12" s="1" customFormat="1">
      <c r="A23" s="45" t="s">
        <v>10</v>
      </c>
      <c r="B23" s="39">
        <v>116029</v>
      </c>
      <c r="C23" s="39">
        <v>393791</v>
      </c>
      <c r="D23" s="39">
        <v>128396</v>
      </c>
      <c r="E23" s="39">
        <v>62671</v>
      </c>
      <c r="F23" s="3"/>
      <c r="G23" s="3"/>
      <c r="H23" s="3"/>
      <c r="I23" s="3"/>
      <c r="J23" s="3"/>
      <c r="K23" s="3"/>
      <c r="L23" s="3"/>
    </row>
    <row r="24" spans="1:12" s="1" customFormat="1">
      <c r="A24" s="45" t="s">
        <v>11</v>
      </c>
      <c r="B24" s="39">
        <v>0</v>
      </c>
      <c r="C24" s="4">
        <v>179253</v>
      </c>
      <c r="D24" s="4">
        <v>202253</v>
      </c>
      <c r="E24" s="4">
        <v>1435127</v>
      </c>
      <c r="F24" s="3"/>
      <c r="G24" s="3"/>
      <c r="H24" s="3"/>
      <c r="I24" s="3"/>
      <c r="J24" s="3"/>
      <c r="K24" s="3"/>
      <c r="L24" s="3"/>
    </row>
    <row r="25" spans="1:12" s="1" customFormat="1">
      <c r="A25" s="49" t="s">
        <v>12</v>
      </c>
      <c r="B25" s="4">
        <v>1773398</v>
      </c>
      <c r="C25" s="4">
        <v>1865939</v>
      </c>
      <c r="D25" s="4">
        <v>1428790</v>
      </c>
      <c r="E25" s="4">
        <v>2599160</v>
      </c>
      <c r="F25" s="3"/>
      <c r="G25" s="3"/>
      <c r="H25" s="3"/>
      <c r="I25" s="3"/>
      <c r="J25" s="3"/>
      <c r="K25" s="3"/>
      <c r="L25" s="3"/>
    </row>
    <row r="26" spans="1:12" s="1" customFormat="1">
      <c r="A26" s="34" t="s">
        <v>13</v>
      </c>
      <c r="B26" s="4">
        <v>1871520</v>
      </c>
      <c r="C26" s="4">
        <v>1871520</v>
      </c>
      <c r="D26" s="4">
        <v>1336800</v>
      </c>
      <c r="E26" s="4">
        <v>1336800</v>
      </c>
      <c r="F26" s="3"/>
      <c r="G26" s="3"/>
      <c r="H26" s="3"/>
      <c r="I26" s="3"/>
      <c r="J26" s="3"/>
      <c r="K26" s="3"/>
      <c r="L26" s="3"/>
    </row>
    <row r="27" spans="1:12" s="1" customFormat="1">
      <c r="A27" s="34" t="s">
        <v>14</v>
      </c>
      <c r="B27" s="13">
        <v>7211231</v>
      </c>
      <c r="C27" s="4">
        <v>8808737</v>
      </c>
      <c r="D27" s="4">
        <v>8891784</v>
      </c>
      <c r="E27" s="4">
        <v>9513718</v>
      </c>
      <c r="F27" s="3"/>
      <c r="G27" s="3"/>
      <c r="H27" s="3"/>
      <c r="I27" s="3"/>
      <c r="J27" s="3"/>
      <c r="K27" s="3"/>
      <c r="L27" s="3"/>
    </row>
    <row r="28" spans="1:12" s="1" customFormat="1">
      <c r="A28" s="47" t="s">
        <v>15</v>
      </c>
      <c r="B28" s="4">
        <v>1441456</v>
      </c>
      <c r="C28" s="12">
        <v>191212</v>
      </c>
      <c r="D28" s="4">
        <v>139010</v>
      </c>
      <c r="E28" s="4">
        <v>341688</v>
      </c>
      <c r="F28" s="4"/>
      <c r="G28" s="3"/>
      <c r="H28" s="3"/>
      <c r="I28" s="3"/>
      <c r="J28" s="3"/>
      <c r="K28" s="3"/>
      <c r="L28" s="3"/>
    </row>
    <row r="29" spans="1:12" s="1" customFormat="1">
      <c r="A29" s="50" t="s">
        <v>16</v>
      </c>
      <c r="B29" s="4">
        <v>10426086</v>
      </c>
      <c r="C29" s="12">
        <v>10865888</v>
      </c>
      <c r="D29" s="4">
        <v>10459583</v>
      </c>
      <c r="E29" s="4">
        <v>12454566</v>
      </c>
      <c r="F29" s="4"/>
      <c r="G29" s="3"/>
      <c r="H29" s="3"/>
      <c r="I29" s="3"/>
      <c r="J29" s="3"/>
      <c r="K29" s="3"/>
      <c r="L29" s="3"/>
    </row>
    <row r="30" spans="1:12" s="1" customFormat="1">
      <c r="A30" s="6" t="s">
        <v>17</v>
      </c>
      <c r="B30" s="28"/>
      <c r="C30" s="29"/>
      <c r="D30" s="33"/>
      <c r="E30" s="33"/>
      <c r="F30" s="22"/>
      <c r="G30" s="22"/>
      <c r="H30" s="22"/>
      <c r="I30" s="22"/>
      <c r="J30" s="22"/>
      <c r="K30" s="22"/>
      <c r="L30" s="22"/>
    </row>
    <row r="31" spans="1:12" s="1" customFormat="1">
      <c r="A31" s="6" t="s">
        <v>18</v>
      </c>
      <c r="B31" s="29"/>
      <c r="C31" s="29"/>
      <c r="D31" s="33"/>
      <c r="E31" s="33"/>
      <c r="F31" s="22"/>
      <c r="G31" s="22"/>
      <c r="H31" s="22"/>
      <c r="I31" s="22"/>
      <c r="J31" s="22"/>
      <c r="K31" s="22"/>
      <c r="L31" s="22"/>
    </row>
    <row r="32" spans="1:12" s="1" customFormat="1">
      <c r="A32" s="34" t="s">
        <v>19</v>
      </c>
      <c r="B32" s="4">
        <f>B6-6220604</f>
        <v>830740</v>
      </c>
      <c r="C32" s="4">
        <f>C6-B6</f>
        <v>-64576</v>
      </c>
      <c r="D32" s="4">
        <f>D6-C6</f>
        <v>1021352</v>
      </c>
      <c r="E32" s="4">
        <f>E6-D6</f>
        <v>997821</v>
      </c>
      <c r="F32" s="3"/>
      <c r="G32" s="22"/>
      <c r="H32" s="22"/>
      <c r="I32" s="22"/>
      <c r="J32" s="22"/>
      <c r="K32" s="22"/>
      <c r="L32" s="22"/>
    </row>
    <row r="33" spans="1:12" s="1" customFormat="1">
      <c r="A33" s="34" t="s">
        <v>40</v>
      </c>
      <c r="B33" s="51">
        <f>IF(1033634&gt;0,(B15-1033634)/1033634," ")</f>
        <v>0.61512875930938804</v>
      </c>
      <c r="C33" s="51">
        <f>IF(B15&gt;0,(C15-B15)/B15," ")</f>
        <v>-0.49347510440551751</v>
      </c>
      <c r="D33" s="52">
        <f>IF(C15&gt;0,(D15-C15)/C15," ")</f>
        <v>0.35768354306135508</v>
      </c>
      <c r="E33" s="52">
        <f>IF(D15&gt;0,(E15-D15)/D15," ")</f>
        <v>-8.4087997122159284E-3</v>
      </c>
      <c r="F33" s="3"/>
      <c r="G33" s="3"/>
      <c r="H33" s="3"/>
      <c r="I33" s="3"/>
      <c r="J33" s="3"/>
      <c r="K33" s="3"/>
      <c r="L33" s="3"/>
    </row>
    <row r="34" spans="1:12" s="1" customFormat="1">
      <c r="A34" s="34" t="s">
        <v>49</v>
      </c>
      <c r="B34" s="52">
        <f>IF(3117355&gt;0,(B9-3117366)/3117355," ")</f>
        <v>6.0465041677960962E-2</v>
      </c>
      <c r="C34" s="52">
        <f>IF(B9&gt;0,(C9-B9)/B9," ")</f>
        <v>0.22798384806118352</v>
      </c>
      <c r="D34" s="52">
        <f>IF(C9&gt;0,(D9-C9)/C9," ")</f>
        <v>-0.12064744297320459</v>
      </c>
      <c r="E34" s="52">
        <f>IF(D9&gt;0,(E9-D9)/D9," ")</f>
        <v>0.28512989366810038</v>
      </c>
      <c r="F34" s="3"/>
      <c r="G34" s="3"/>
      <c r="H34" s="3"/>
      <c r="I34" s="3"/>
      <c r="J34" s="3"/>
      <c r="K34" s="3"/>
      <c r="L34" s="3"/>
    </row>
    <row r="35" spans="1:12" s="1" customFormat="1">
      <c r="A35" s="34" t="s">
        <v>20</v>
      </c>
      <c r="B35" s="4">
        <f>B10-8104</f>
        <v>26098</v>
      </c>
      <c r="C35" s="4">
        <f>C10-B10</f>
        <v>42530</v>
      </c>
      <c r="D35" s="4">
        <f>D10-C10</f>
        <v>-40104</v>
      </c>
      <c r="E35" s="4">
        <f>E10-D10</f>
        <v>150623</v>
      </c>
      <c r="F35" s="3"/>
      <c r="G35" s="3"/>
      <c r="H35" s="3"/>
      <c r="I35" s="3"/>
      <c r="J35" s="3"/>
      <c r="K35" s="3"/>
      <c r="L35" s="3"/>
    </row>
    <row r="36" spans="1:12" s="1" customFormat="1">
      <c r="A36" s="6" t="s">
        <v>21</v>
      </c>
      <c r="B36" s="54"/>
      <c r="C36" s="54"/>
      <c r="D36" s="33"/>
      <c r="E36" s="33"/>
      <c r="F36" s="22"/>
      <c r="G36" s="22"/>
      <c r="H36" s="22"/>
      <c r="I36" s="22"/>
      <c r="J36" s="22"/>
      <c r="K36" s="22"/>
      <c r="L36" s="22"/>
    </row>
    <row r="37" spans="1:12" s="1" customFormat="1">
      <c r="A37" s="34" t="s">
        <v>22</v>
      </c>
      <c r="B37" s="51">
        <f>IF(B6&gt;0,(B6-B7)/B6," ")</f>
        <v>0.69139741303218227</v>
      </c>
      <c r="C37" s="51">
        <f>IF(C6&gt;0,(C6-C7)/C6," ")</f>
        <v>0.63303662007955608</v>
      </c>
      <c r="D37" s="52">
        <f>IF(D6&gt;0,(D6-D7)/D6," ")</f>
        <v>0.64327370219227487</v>
      </c>
      <c r="E37" s="52">
        <f>IF(E6&gt;0,(E6-E7)/E6," ")</f>
        <v>0.61982495776954349</v>
      </c>
      <c r="F37" s="3"/>
      <c r="G37" s="3"/>
      <c r="H37" s="3"/>
      <c r="I37" s="3"/>
      <c r="J37" s="3"/>
      <c r="K37" s="3"/>
      <c r="L37" s="3"/>
    </row>
    <row r="38" spans="1:12" s="1" customFormat="1">
      <c r="A38" s="34" t="s">
        <v>48</v>
      </c>
      <c r="B38" s="52">
        <f>IF(B6&gt;0,B9/B6," ")</f>
        <v>0.46882651023691368</v>
      </c>
      <c r="C38" s="52">
        <f>IF(C6&gt;0,C9/C6," ")</f>
        <v>0.5810324602162259</v>
      </c>
      <c r="D38" s="52">
        <f>IF(D6&gt;0,D9/D6," ")</f>
        <v>0.4457682951803919</v>
      </c>
      <c r="E38" s="52">
        <f>IF(E6&gt;0,E9/E6," ")</f>
        <v>0.50939851815595949</v>
      </c>
      <c r="F38" s="3"/>
      <c r="G38" s="3"/>
      <c r="H38" s="3"/>
      <c r="I38" s="3"/>
      <c r="J38" s="3"/>
      <c r="K38" s="3"/>
      <c r="L38" s="3"/>
    </row>
    <row r="39" spans="1:12" s="1" customFormat="1">
      <c r="A39" s="34" t="s">
        <v>23</v>
      </c>
      <c r="B39" s="4">
        <f>IF(B6&gt;0,B6-B7+B8-B9-B10+B11-B14," ")</f>
        <v>1140333</v>
      </c>
      <c r="C39" s="4">
        <f>IF(C6&gt;0,C6-C7+C8-C9-C10+C11-C14," ")</f>
        <v>-54709</v>
      </c>
      <c r="D39" s="4">
        <f>IF(D6&gt;0,D6-D7+D8-D9-D10+D11-D14," ")</f>
        <v>1123024</v>
      </c>
      <c r="E39" s="4">
        <f>IF(E6&gt;0,E6-E7+E8-E9-E10+E11-E14," ")</f>
        <v>592874</v>
      </c>
      <c r="F39" s="3"/>
      <c r="G39" s="3"/>
      <c r="H39" s="3"/>
      <c r="I39" s="3"/>
      <c r="J39" s="3"/>
      <c r="K39" s="3"/>
      <c r="L39" s="3"/>
    </row>
    <row r="40" spans="1:12" s="1" customFormat="1">
      <c r="A40" s="34" t="s">
        <v>24</v>
      </c>
      <c r="B40" s="4">
        <f>B22-B25</f>
        <v>5105819</v>
      </c>
      <c r="C40" s="4">
        <f>C22-C25</f>
        <v>4913763</v>
      </c>
      <c r="D40" s="4">
        <f>D22-D25</f>
        <v>4979024</v>
      </c>
      <c r="E40" s="4">
        <f>E22-E25</f>
        <v>6209498</v>
      </c>
      <c r="F40" s="3"/>
      <c r="G40" s="3"/>
      <c r="H40" s="3"/>
      <c r="I40" s="3"/>
      <c r="J40" s="3"/>
      <c r="K40" s="3"/>
      <c r="L40" s="3"/>
    </row>
    <row r="41" spans="1:12" s="1" customFormat="1">
      <c r="A41" s="6" t="s">
        <v>25</v>
      </c>
      <c r="B41" s="54"/>
      <c r="C41" s="54"/>
      <c r="D41" s="33"/>
      <c r="E41" s="33"/>
      <c r="F41" s="22"/>
      <c r="G41" s="22"/>
      <c r="H41" s="22"/>
      <c r="I41" s="22"/>
      <c r="J41" s="22"/>
      <c r="K41" s="22"/>
      <c r="L41" s="22"/>
    </row>
    <row r="42" spans="1:12" s="1" customFormat="1">
      <c r="A42" s="34" t="s">
        <v>41</v>
      </c>
      <c r="B42" s="53">
        <f>IF(B6&gt;0,(B29-B27)/B6," ")</f>
        <v>0.45592088543687559</v>
      </c>
      <c r="C42" s="53">
        <f>IF(C6&gt;0,(C29-C27)/C6," ")</f>
        <v>0.29443528109134293</v>
      </c>
      <c r="D42" s="53">
        <f>IF(D6&gt;0,(D29-D27)/D6," ")</f>
        <v>0.19577616219537169</v>
      </c>
      <c r="E42" s="53">
        <f>IF(E6&gt;0,(E29-E27)/E6," ")</f>
        <v>0.32654533268650104</v>
      </c>
      <c r="F42" s="3"/>
      <c r="G42" s="3"/>
      <c r="H42" s="3"/>
      <c r="I42" s="3"/>
      <c r="J42" s="3"/>
      <c r="K42" s="3"/>
      <c r="L42" s="3"/>
    </row>
    <row r="43" spans="1:12" s="1" customFormat="1">
      <c r="A43" s="34" t="s">
        <v>42</v>
      </c>
      <c r="B43" s="53">
        <f>IF(B27&lt;&gt;0,(B29-B27)/B27," ")</f>
        <v>0.44581223372264733</v>
      </c>
      <c r="C43" s="53">
        <f>IF(C27&lt;&gt;0,(C29-C27)/C27," ")</f>
        <v>0.23353529569562584</v>
      </c>
      <c r="D43" s="53">
        <f>IF(D27&lt;&gt;0,(D29-D27)/D27," ")</f>
        <v>0.176319960088999</v>
      </c>
      <c r="E43" s="53">
        <f>IF(E27&lt;&gt;0,(E29-E27)/E27," ")</f>
        <v>0.30911658302253653</v>
      </c>
      <c r="F43" s="3"/>
      <c r="G43" s="3"/>
      <c r="H43" s="3"/>
      <c r="I43" s="3"/>
      <c r="J43" s="3"/>
      <c r="K43" s="3"/>
      <c r="L43" s="3"/>
    </row>
    <row r="44" spans="1:12" s="1" customFormat="1">
      <c r="A44" s="6" t="s">
        <v>26</v>
      </c>
      <c r="B44" s="29"/>
      <c r="C44" s="29"/>
      <c r="D44" s="33"/>
      <c r="E44" s="33"/>
      <c r="F44" s="22"/>
      <c r="G44" s="22"/>
      <c r="H44" s="22"/>
      <c r="I44" s="22"/>
      <c r="J44" s="22"/>
      <c r="K44" s="22"/>
      <c r="L44" s="22"/>
    </row>
    <row r="45" spans="1:12" s="1" customFormat="1">
      <c r="A45" s="34" t="s">
        <v>27</v>
      </c>
      <c r="B45" s="55">
        <f>IF(B25&gt;0,B22/B25," ")</f>
        <v>3.8791162502720766</v>
      </c>
      <c r="C45" s="55">
        <f>IF(C25&gt;0,C22/C25," ")</f>
        <v>3.6333995913049675</v>
      </c>
      <c r="D45" s="55">
        <f>IF(D25&gt;0,D22/D25," ")</f>
        <v>4.4847836281048998</v>
      </c>
      <c r="E45" s="55">
        <f>IF(E25&gt;0,E22/E25," ")</f>
        <v>3.3890403053294142</v>
      </c>
      <c r="F45" s="22"/>
      <c r="G45" s="22"/>
      <c r="H45" s="22"/>
      <c r="I45" s="22"/>
      <c r="J45" s="22"/>
      <c r="K45" s="22"/>
      <c r="L45" s="22"/>
    </row>
    <row r="46" spans="1:12" s="1" customFormat="1">
      <c r="A46" s="34" t="s">
        <v>28</v>
      </c>
      <c r="B46" s="55">
        <f>IF(B25&gt;0,(B22-B19)/B25," ")</f>
        <v>3.8791162502720766</v>
      </c>
      <c r="C46" s="55">
        <f>IF(C25&gt;0,(C22-C19)/C25," ")</f>
        <v>3.6333995913049675</v>
      </c>
      <c r="D46" s="55">
        <f>IF(D25&gt;0,(D22-D19)/D25," ")</f>
        <v>4.4847836281048998</v>
      </c>
      <c r="E46" s="55">
        <f>IF(E25&gt;0,(E22-E19)/E25," ")</f>
        <v>3.3890403053294142</v>
      </c>
      <c r="F46" s="22"/>
      <c r="G46" s="22"/>
      <c r="H46" s="22"/>
      <c r="I46" s="22"/>
      <c r="J46" s="22"/>
      <c r="K46" s="22"/>
      <c r="L46" s="22"/>
    </row>
    <row r="47" spans="1:12" s="1" customFormat="1">
      <c r="A47" s="6" t="s">
        <v>29</v>
      </c>
      <c r="B47" s="29"/>
      <c r="C47" s="29"/>
      <c r="D47" s="33"/>
      <c r="E47" s="33"/>
      <c r="F47" s="22"/>
      <c r="G47" s="22"/>
      <c r="H47" s="22"/>
      <c r="I47" s="22"/>
      <c r="J47" s="22"/>
      <c r="K47" s="22"/>
      <c r="L47" s="22"/>
    </row>
    <row r="48" spans="1:12" s="1" customFormat="1">
      <c r="A48" s="34" t="s">
        <v>30</v>
      </c>
      <c r="B48" s="55">
        <f>IF(B19&gt;0,(B20/B19)*((365/12)*B5),0)</f>
        <v>0</v>
      </c>
      <c r="C48" s="55">
        <f>IF(C6&gt;0,(C20/C6)*((365/12)*C5),0)</f>
        <v>197.46534019735594</v>
      </c>
      <c r="D48" s="55">
        <f>IF(D6&gt;0,(D20/D6)*((365/12)*D5),0)</f>
        <v>203.71457782850408</v>
      </c>
      <c r="E48" s="55">
        <f>IF(E6&gt;0,(E20/E6)*((365/12)*E5),0)</f>
        <v>219.81192970284837</v>
      </c>
      <c r="F48" s="22"/>
      <c r="G48" s="22"/>
      <c r="H48" s="22"/>
      <c r="I48" s="22"/>
      <c r="J48" s="22"/>
      <c r="K48" s="22"/>
      <c r="L48" s="22"/>
    </row>
    <row r="49" spans="1:12" s="1" customFormat="1">
      <c r="A49" s="34" t="s">
        <v>31</v>
      </c>
      <c r="B49" s="55">
        <f>IF(B7&gt;0,(B23/B7)*((365/12)*B5),0)</f>
        <v>19.462021549927552</v>
      </c>
      <c r="C49" s="55">
        <f>IF(C7&gt;0,(C23/C7)*((365/12)*C5),0)</f>
        <v>56.060840021092964</v>
      </c>
      <c r="D49" s="55">
        <f>IF(D7&gt;0,(D23/D7)*((365/12)*D5),0)</f>
        <v>16.405091596723079</v>
      </c>
      <c r="E49" s="55">
        <f>IF(E7&gt;0,(E23/E7)*((365/12)*E5),0)</f>
        <v>6.6810817931009501</v>
      </c>
      <c r="F49" s="22"/>
      <c r="G49" s="22"/>
      <c r="H49" s="22"/>
      <c r="I49" s="22"/>
      <c r="J49" s="22"/>
      <c r="K49" s="22"/>
      <c r="L49" s="22"/>
    </row>
    <row r="50" spans="1:12" s="1" customFormat="1">
      <c r="A50" s="34" t="s">
        <v>32</v>
      </c>
      <c r="B50" s="55">
        <f>IF(B7&gt;0,(B19/B7)*((365/12)*B5),0)</f>
        <v>0</v>
      </c>
      <c r="C50" s="55">
        <f>IF(C7&gt;0,(C19/C7)*((365/12)*C5),0)</f>
        <v>0</v>
      </c>
      <c r="D50" s="55">
        <f>IF(D7&gt;0,(D19/D7)*((365/12)*D5),0)</f>
        <v>0</v>
      </c>
      <c r="E50" s="55">
        <f>IF(E7&gt;0,(E19/E7)*((365/12)*E5),0)</f>
        <v>0</v>
      </c>
      <c r="F50" s="22"/>
      <c r="G50" s="22"/>
      <c r="H50" s="22"/>
      <c r="I50" s="22"/>
      <c r="J50" s="22"/>
      <c r="K50" s="22"/>
      <c r="L50" s="22"/>
    </row>
    <row r="51" spans="1:12" s="1" customFormat="1">
      <c r="A51" s="34" t="s">
        <v>33</v>
      </c>
      <c r="B51" s="55">
        <f>IF((AND(B6=0,B7=0)),0,IF(B7=0,B48,(B48+B50-B49)))</f>
        <v>-19.462021549927552</v>
      </c>
      <c r="C51" s="55">
        <f>IF((AND(C6=0,C7=0)),0,IF(C7=0,C48,(C48+C50-C49)))</f>
        <v>141.40450017626299</v>
      </c>
      <c r="D51" s="55">
        <f>IF((AND(D6=0,D7=0)),0,IF(D7=0,D48,(D48+D50-D49)))</f>
        <v>187.30948623178099</v>
      </c>
      <c r="E51" s="55">
        <f>IF((AND(E6=0,E7=0)),0,IF(E7=0,E48,(E48+E50-E49)))</f>
        <v>213.13084790974742</v>
      </c>
      <c r="F51" s="22"/>
      <c r="G51" s="22"/>
      <c r="H51" s="22"/>
      <c r="I51" s="22"/>
      <c r="J51" s="22"/>
      <c r="K51" s="22"/>
      <c r="L51" s="22"/>
    </row>
    <row r="52" spans="1:12" s="1" customFormat="1">
      <c r="A52" s="6" t="s">
        <v>34</v>
      </c>
      <c r="B52" s="33"/>
      <c r="C52" s="33"/>
      <c r="D52" s="33"/>
      <c r="E52" s="33"/>
      <c r="F52" s="22"/>
      <c r="G52" s="41"/>
      <c r="H52" s="22"/>
      <c r="I52" s="22"/>
      <c r="J52" s="22"/>
      <c r="K52" s="22"/>
      <c r="L52" s="22"/>
    </row>
    <row r="53" spans="1:12" s="1" customFormat="1">
      <c r="A53" s="34" t="s">
        <v>43</v>
      </c>
      <c r="B53" s="52">
        <f>IF((B6-B7)&lt;&gt;0,(B9+B10)/(B6-B7)," ")</f>
        <v>0.6851008177785034</v>
      </c>
      <c r="C53" s="52">
        <f>IF((C6-C7)&lt;&gt;0,(C9+C10)/(C6-C7)," ")</f>
        <v>0.93519855840538291</v>
      </c>
      <c r="D53" s="52">
        <f>IF((D6-D7)&lt;&gt;0,(D9+D10)/(D6-D7)," ")</f>
        <v>0.70007859979388176</v>
      </c>
      <c r="E53" s="52">
        <f>IF((E6-E7)&lt;&gt;0,(E9+E10)/(E6-E7)," ")</f>
        <v>0.85538740120889833</v>
      </c>
      <c r="F53" s="3"/>
      <c r="G53" s="3"/>
      <c r="H53" s="3"/>
      <c r="I53" s="3"/>
      <c r="J53" s="3"/>
      <c r="K53" s="3"/>
      <c r="L53" s="3"/>
    </row>
    <row r="54" spans="1:12" s="1" customFormat="1"/>
    <row r="55" spans="1:12" s="1" customFormat="1"/>
    <row r="56" spans="1:12" s="1" customFormat="1"/>
    <row r="57" spans="1:12" s="1" customFormat="1"/>
    <row r="58" spans="1:12" s="1" customFormat="1"/>
    <row r="59" spans="1:12" s="1" customFormat="1"/>
    <row r="60" spans="1:12" s="1" customFormat="1"/>
    <row r="61" spans="1:12" s="1" customFormat="1"/>
    <row r="62" spans="1:12" s="1" customFormat="1"/>
    <row r="63" spans="1:12" s="1" customFormat="1"/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28A734CAE1D547937DC19A6975A554" ma:contentTypeVersion="2" ma:contentTypeDescription="Create a new document." ma:contentTypeScope="" ma:versionID="c29779cbf77deb545ed0484b274ef0cb">
  <xsd:schema xmlns:xsd="http://www.w3.org/2001/XMLSchema" xmlns:xs="http://www.w3.org/2001/XMLSchema" xmlns:p="http://schemas.microsoft.com/office/2006/metadata/properties" xmlns:ns2="3aff5f09-b9c3-4fe2-8d30-9ce3fced6c74" targetNamespace="http://schemas.microsoft.com/office/2006/metadata/properties" ma:root="true" ma:fieldsID="9c15ddd76092ab0cce0c9f612e24419b" ns2:_="">
    <xsd:import namespace="3aff5f09-b9c3-4fe2-8d30-9ce3fced6c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ff5f09-b9c3-4fe2-8d30-9ce3fced6c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456AAFF-B604-4646-8BE5-8CBC93E7D90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ABEEF96-5C55-4548-A4B0-A4EF52E0A34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81B85C-63E4-4A8A-BB84-BED7CA7BB3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ff5f09-b9c3-4fe2-8d30-9ce3fced6c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Sheet1</vt:lpstr>
      <vt:lpstr>Φύλλο 1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ALTEC   USER</dc:creator>
  <cp:lastModifiedBy>User</cp:lastModifiedBy>
  <cp:revision/>
  <dcterms:created xsi:type="dcterms:W3CDTF">2000-04-13T08:58:57Z</dcterms:created>
  <dcterms:modified xsi:type="dcterms:W3CDTF">2020-06-01T06:53:23Z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0x0101001228A734CAE1D547937DC19A6975A554</vt:lpwstr>
  </property>
</Properties>
</file>